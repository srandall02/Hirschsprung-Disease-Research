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randall/Documents/DS_PANTHER_GDNFP/"/>
    </mc:Choice>
  </mc:AlternateContent>
  <xr:revisionPtr revIDLastSave="0" documentId="13_ncr:1_{6C7F1854-FECB-3C42-BF13-0A44B38F5F6F}" xr6:coauthVersionLast="47" xr6:coauthVersionMax="47" xr10:uidLastSave="{00000000-0000-0000-0000-000000000000}"/>
  <bookViews>
    <workbookView xWindow="0" yWindow="760" windowWidth="30240" windowHeight="17800" xr2:uid="{7D970D60-4AEC-7E4F-9364-DAB2908AB628}"/>
  </bookViews>
  <sheets>
    <sheet name="Panther_gene_pat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</calcChain>
</file>

<file path=xl/sharedStrings.xml><?xml version="1.0" encoding="utf-8"?>
<sst xmlns="http://schemas.openxmlformats.org/spreadsheetml/2006/main" count="263" uniqueCount="48">
  <si>
    <t>HMX3</t>
  </si>
  <si>
    <t>ARX</t>
  </si>
  <si>
    <t>ONECUT2</t>
  </si>
  <si>
    <t>SFRP1</t>
  </si>
  <si>
    <t>VAX2</t>
  </si>
  <si>
    <t>POU3F3</t>
  </si>
  <si>
    <t>SLC6A17</t>
  </si>
  <si>
    <t>NKX2-2</t>
  </si>
  <si>
    <t>ZIC5</t>
  </si>
  <si>
    <t>PRRXL1</t>
  </si>
  <si>
    <t>TMEM132E</t>
  </si>
  <si>
    <t>CRTAC1</t>
  </si>
  <si>
    <t>FEZF2</t>
  </si>
  <si>
    <t>LHX3</t>
  </si>
  <si>
    <t>FOXB1</t>
  </si>
  <si>
    <t>LHX2</t>
  </si>
  <si>
    <t>CELF4</t>
  </si>
  <si>
    <t>CDH22</t>
  </si>
  <si>
    <t>HOXC10</t>
  </si>
  <si>
    <t>LMX1B</t>
  </si>
  <si>
    <t>HOXB5</t>
  </si>
  <si>
    <t>FOXD2</t>
  </si>
  <si>
    <t>DLX3</t>
  </si>
  <si>
    <t>DLX1</t>
  </si>
  <si>
    <t>FOXL1</t>
  </si>
  <si>
    <t>OLFM1</t>
  </si>
  <si>
    <t>RNF220</t>
  </si>
  <si>
    <t>GSX1</t>
  </si>
  <si>
    <t>EPHA10</t>
  </si>
  <si>
    <t>DMTN</t>
  </si>
  <si>
    <t>Cell_diff</t>
  </si>
  <si>
    <t>Anatomical_Structure</t>
  </si>
  <si>
    <t>Cell_fate</t>
  </si>
  <si>
    <t>CNS_dev</t>
  </si>
  <si>
    <t>RBFOX3</t>
  </si>
  <si>
    <t>Multicell_organism_dev</t>
  </si>
  <si>
    <t>Neurogenesis</t>
  </si>
  <si>
    <t>Nervous System Dev</t>
  </si>
  <si>
    <t>System Dev</t>
  </si>
  <si>
    <t>Pattern Specification</t>
  </si>
  <si>
    <t>Regionalization</t>
  </si>
  <si>
    <t>EBF3</t>
  </si>
  <si>
    <t>RNA Polymerase II Regulation</t>
  </si>
  <si>
    <t>ALL_PATHS</t>
  </si>
  <si>
    <t>NEURO_PATHS</t>
  </si>
  <si>
    <t>NA</t>
  </si>
  <si>
    <t>To include [genes found consistently across most enriched pathways]:</t>
  </si>
  <si>
    <t>Animal Organ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</si>
</sst>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2178-922A-EC47-98C6-63E7550469C1}">
  <dimension ref="A1:P31"/>
  <sheetViews>
    <sheetView tabSelected="1" workbookViewId="0">
      <selection activeCell="M19" sqref="M19"/>
    </sheetView>
  </sheetViews>
  <sheetFormatPr baseColWidth="10" defaultRowHeight="16" x14ac:dyDescent="0.2"/>
  <cols>
    <col min="1" max="1" width="24.83203125" customWidth="1"/>
    <col min="2" max="2" width="18.5" customWidth="1"/>
    <col min="6" max="6" width="27.6640625" customWidth="1"/>
    <col min="8" max="8" width="18.6640625" customWidth="1"/>
    <col min="10" max="10" width="17.6640625" customWidth="1"/>
    <col min="11" max="11" width="17" customWidth="1"/>
    <col min="12" max="12" width="33.33203125" customWidth="1"/>
    <col min="14" max="14" width="14.33203125" customWidth="1"/>
  </cols>
  <sheetData>
    <row r="1" spans="1:16" x14ac:dyDescent="0.2">
      <c r="A1" t="s">
        <v>31</v>
      </c>
      <c r="B1" t="s">
        <v>47</v>
      </c>
      <c r="C1" t="s">
        <v>30</v>
      </c>
      <c r="D1" t="s">
        <v>32</v>
      </c>
      <c r="E1" t="s">
        <v>33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42</v>
      </c>
      <c r="M1" t="s">
        <v>43</v>
      </c>
      <c r="N1" t="s">
        <v>44</v>
      </c>
      <c r="P1" t="s">
        <v>46</v>
      </c>
    </row>
    <row r="2" spans="1:16" x14ac:dyDescent="0.2">
      <c r="A2" t="s">
        <v>0</v>
      </c>
      <c r="B2" t="s">
        <v>0</v>
      </c>
      <c r="C2" s="1" t="s">
        <v>1</v>
      </c>
      <c r="D2" s="2" t="s">
        <v>1</v>
      </c>
      <c r="E2" s="2" t="s">
        <v>0</v>
      </c>
      <c r="F2" s="2" t="s">
        <v>0</v>
      </c>
      <c r="G2" s="2" t="s">
        <v>1</v>
      </c>
      <c r="H2" s="2" t="s">
        <v>0</v>
      </c>
      <c r="I2" s="2" t="s">
        <v>0</v>
      </c>
      <c r="J2" s="2" t="s">
        <v>3</v>
      </c>
      <c r="K2" s="2" t="s">
        <v>3</v>
      </c>
      <c r="L2" s="2" t="s">
        <v>1</v>
      </c>
      <c r="M2" t="str">
        <f>IF(AND(COUNTIF($B:$B, A2)&gt;0, COUNTIF($C:$C, A2)&gt;0, COUNTIF($D:$D, A2)&gt;0, COUNTIF($E:$E, A2)&gt;0, COUNTIF($F:$F, A2)&gt;0, COUNTIF($G:$G, A2)&gt;0, COUNTIF($H:$H, A2)&gt;0, COUNTIF($I:$I, A2)&gt;0, COUNTIF($J:$J, A2)&gt;0, COUNTIF($K:$K, A2)&gt;0, COUNTIF($L:$L, A2)&gt;0), A2, "NA")</f>
        <v>NA</v>
      </c>
      <c r="N2" t="s">
        <v>45</v>
      </c>
      <c r="P2" t="s">
        <v>2</v>
      </c>
    </row>
    <row r="3" spans="1:16" x14ac:dyDescent="0.2">
      <c r="A3" t="s">
        <v>1</v>
      </c>
      <c r="B3" t="s">
        <v>1</v>
      </c>
      <c r="C3" s="1" t="s">
        <v>2</v>
      </c>
      <c r="D3" s="2" t="s">
        <v>2</v>
      </c>
      <c r="E3" s="2" t="s">
        <v>1</v>
      </c>
      <c r="F3" s="2" t="s">
        <v>1</v>
      </c>
      <c r="G3" s="2" t="s">
        <v>2</v>
      </c>
      <c r="H3" s="2" t="s">
        <v>1</v>
      </c>
      <c r="I3" s="2" t="s">
        <v>1</v>
      </c>
      <c r="J3" s="2" t="s">
        <v>4</v>
      </c>
      <c r="K3" s="2" t="s">
        <v>4</v>
      </c>
      <c r="L3" s="2" t="s">
        <v>2</v>
      </c>
      <c r="M3" t="str">
        <f t="shared" ref="M3:M31" si="0">IF(AND(COUNTIF($B:$B, A3)&gt;0, COUNTIF($C:$C, A3)&gt;0, COUNTIF($D:$D, A3)&gt;0, COUNTIF($E:$E, A3)&gt;0, COUNTIF($F:$F, A3)&gt;0, COUNTIF($G:$G, A3)&gt;0, COUNTIF($H:$H, A3)&gt;0, COUNTIF($I:$I, A3)&gt;0, COUNTIF($J:$J, A3)&gt;0, COUNTIF($K:$K, A3)&gt;0, COUNTIF($L:$L, A3)&gt;0), A3, "NA")</f>
        <v>NA</v>
      </c>
      <c r="N3" t="str">
        <f t="shared" ref="N3:N31" si="1">IF(AND(COUNTIF($B:$B, A3)&gt;0, COUNTIF($C:$C, A3)&gt;0, COUNTIF($D:$D, A3)&gt;0, COUNTIF($E:$E, A3)&gt;0, COUNTIF($F:$F, A3)&gt;0, COUNTIF($G:$G, A3)&gt;0, COUNTIF($H:$H, A3)&gt;0, COUNTIF($I:$I, A3)&gt;0), A3, "NA")</f>
        <v>ARX</v>
      </c>
      <c r="P3" t="s">
        <v>8</v>
      </c>
    </row>
    <row r="4" spans="1:16" x14ac:dyDescent="0.2">
      <c r="A4" t="s">
        <v>2</v>
      </c>
      <c r="B4" t="s">
        <v>2</v>
      </c>
      <c r="C4" s="1" t="s">
        <v>3</v>
      </c>
      <c r="D4" s="2" t="s">
        <v>3</v>
      </c>
      <c r="E4" s="2" t="s">
        <v>4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7</v>
      </c>
      <c r="K4" s="2" t="s">
        <v>7</v>
      </c>
      <c r="L4" s="2" t="s">
        <v>5</v>
      </c>
      <c r="M4" t="str">
        <f t="shared" si="0"/>
        <v>NA</v>
      </c>
      <c r="N4" t="str">
        <f t="shared" si="1"/>
        <v>NA</v>
      </c>
      <c r="P4" t="s">
        <v>3</v>
      </c>
    </row>
    <row r="5" spans="1:16" x14ac:dyDescent="0.2">
      <c r="A5" t="s">
        <v>3</v>
      </c>
      <c r="B5" t="s">
        <v>3</v>
      </c>
      <c r="C5" s="1" t="s">
        <v>4</v>
      </c>
      <c r="D5" s="2" t="s">
        <v>7</v>
      </c>
      <c r="E5" s="2" t="s">
        <v>5</v>
      </c>
      <c r="F5" s="2" t="s">
        <v>3</v>
      </c>
      <c r="G5" s="2" t="s">
        <v>4</v>
      </c>
      <c r="H5" s="2" t="s">
        <v>3</v>
      </c>
      <c r="I5" s="2" t="s">
        <v>3</v>
      </c>
      <c r="J5" s="2" t="s">
        <v>12</v>
      </c>
      <c r="K5" s="2" t="s">
        <v>12</v>
      </c>
      <c r="L5" s="2" t="s">
        <v>7</v>
      </c>
      <c r="M5" t="str">
        <f t="shared" si="0"/>
        <v>NA</v>
      </c>
      <c r="N5" t="str">
        <f t="shared" si="1"/>
        <v>NA</v>
      </c>
      <c r="P5" t="s">
        <v>4</v>
      </c>
    </row>
    <row r="6" spans="1:16" x14ac:dyDescent="0.2">
      <c r="A6" t="s">
        <v>4</v>
      </c>
      <c r="B6" t="s">
        <v>4</v>
      </c>
      <c r="C6" s="1" t="s">
        <v>7</v>
      </c>
      <c r="D6" s="2" t="s">
        <v>12</v>
      </c>
      <c r="E6" s="2" t="s">
        <v>6</v>
      </c>
      <c r="F6" s="2" t="s">
        <v>4</v>
      </c>
      <c r="G6" s="2" t="s">
        <v>7</v>
      </c>
      <c r="H6" s="2" t="s">
        <v>4</v>
      </c>
      <c r="I6" s="2" t="s">
        <v>4</v>
      </c>
      <c r="J6" s="2" t="s">
        <v>13</v>
      </c>
      <c r="K6" s="2" t="s">
        <v>13</v>
      </c>
      <c r="L6" s="2" t="s">
        <v>12</v>
      </c>
      <c r="M6" t="str">
        <f t="shared" si="0"/>
        <v>NA</v>
      </c>
      <c r="N6" t="str">
        <f t="shared" si="1"/>
        <v>NA</v>
      </c>
      <c r="P6" t="s">
        <v>1</v>
      </c>
    </row>
    <row r="7" spans="1:16" x14ac:dyDescent="0.2">
      <c r="A7" t="s">
        <v>5</v>
      </c>
      <c r="B7" t="s">
        <v>5</v>
      </c>
      <c r="C7" s="1" t="s">
        <v>9</v>
      </c>
      <c r="D7" s="2" t="s">
        <v>13</v>
      </c>
      <c r="E7" s="2" t="s">
        <v>7</v>
      </c>
      <c r="F7" s="2" t="s">
        <v>5</v>
      </c>
      <c r="G7" s="2" t="s">
        <v>9</v>
      </c>
      <c r="H7" s="2" t="s">
        <v>5</v>
      </c>
      <c r="I7" s="2" t="s">
        <v>5</v>
      </c>
      <c r="J7" s="2" t="s">
        <v>14</v>
      </c>
      <c r="K7" s="2" t="s">
        <v>14</v>
      </c>
      <c r="L7" s="2" t="s">
        <v>13</v>
      </c>
      <c r="M7" t="str">
        <f t="shared" si="0"/>
        <v>NA</v>
      </c>
      <c r="N7" t="str">
        <f t="shared" si="1"/>
        <v>NA</v>
      </c>
      <c r="P7" t="s">
        <v>7</v>
      </c>
    </row>
    <row r="8" spans="1:16" x14ac:dyDescent="0.2">
      <c r="A8" t="s">
        <v>6</v>
      </c>
      <c r="B8" t="s">
        <v>6</v>
      </c>
      <c r="C8" s="1" t="s">
        <v>10</v>
      </c>
      <c r="D8" s="2" t="s">
        <v>18</v>
      </c>
      <c r="E8" s="2" t="s">
        <v>8</v>
      </c>
      <c r="F8" s="2" t="s">
        <v>6</v>
      </c>
      <c r="G8" s="2" t="s">
        <v>10</v>
      </c>
      <c r="H8" s="2" t="s">
        <v>6</v>
      </c>
      <c r="I8" s="2" t="s">
        <v>6</v>
      </c>
      <c r="J8" s="2" t="s">
        <v>15</v>
      </c>
      <c r="K8" s="2" t="s">
        <v>15</v>
      </c>
      <c r="L8" s="2" t="s">
        <v>15</v>
      </c>
      <c r="M8" t="str">
        <f t="shared" si="0"/>
        <v>NA</v>
      </c>
      <c r="N8" t="str">
        <f t="shared" si="1"/>
        <v>NA</v>
      </c>
      <c r="P8" t="s">
        <v>12</v>
      </c>
    </row>
    <row r="9" spans="1:16" x14ac:dyDescent="0.2">
      <c r="A9" t="s">
        <v>7</v>
      </c>
      <c r="B9" t="s">
        <v>7</v>
      </c>
      <c r="C9" s="1" t="s">
        <v>11</v>
      </c>
      <c r="D9" s="2" t="s">
        <v>23</v>
      </c>
      <c r="E9" s="2" t="s">
        <v>9</v>
      </c>
      <c r="F9" s="2" t="s">
        <v>7</v>
      </c>
      <c r="G9" s="2" t="s">
        <v>11</v>
      </c>
      <c r="H9" s="2" t="s">
        <v>7</v>
      </c>
      <c r="I9" s="2" t="s">
        <v>7</v>
      </c>
      <c r="J9" s="2" t="s">
        <v>18</v>
      </c>
      <c r="K9" s="2" t="s">
        <v>18</v>
      </c>
      <c r="L9" s="2" t="s">
        <v>18</v>
      </c>
      <c r="M9" t="str">
        <f t="shared" si="0"/>
        <v>NKX2-2</v>
      </c>
      <c r="N9" t="str">
        <f t="shared" si="1"/>
        <v>NKX2-2</v>
      </c>
      <c r="P9" t="s">
        <v>13</v>
      </c>
    </row>
    <row r="10" spans="1:16" x14ac:dyDescent="0.2">
      <c r="A10" t="s">
        <v>8</v>
      </c>
      <c r="B10" t="s">
        <v>8</v>
      </c>
      <c r="C10" s="1" t="s">
        <v>12</v>
      </c>
      <c r="D10" s="2" t="s">
        <v>27</v>
      </c>
      <c r="E10" s="2" t="s">
        <v>11</v>
      </c>
      <c r="F10" s="2" t="s">
        <v>8</v>
      </c>
      <c r="G10" s="2" t="s">
        <v>12</v>
      </c>
      <c r="H10" s="2" t="s">
        <v>8</v>
      </c>
      <c r="I10" s="2" t="s">
        <v>8</v>
      </c>
      <c r="J10" s="2" t="s">
        <v>19</v>
      </c>
      <c r="K10" s="2" t="s">
        <v>19</v>
      </c>
      <c r="L10" s="2" t="s">
        <v>19</v>
      </c>
      <c r="M10" t="str">
        <f t="shared" si="0"/>
        <v>NA</v>
      </c>
      <c r="N10" t="str">
        <f t="shared" si="1"/>
        <v>NA</v>
      </c>
      <c r="P10" t="s">
        <v>23</v>
      </c>
    </row>
    <row r="11" spans="1:16" x14ac:dyDescent="0.2">
      <c r="A11" t="s">
        <v>9</v>
      </c>
      <c r="B11" t="s">
        <v>10</v>
      </c>
      <c r="C11" s="1" t="s">
        <v>13</v>
      </c>
      <c r="E11" s="2" t="s">
        <v>12</v>
      </c>
      <c r="F11" s="2" t="s">
        <v>9</v>
      </c>
      <c r="G11" s="2" t="s">
        <v>13</v>
      </c>
      <c r="H11" s="2" t="s">
        <v>9</v>
      </c>
      <c r="I11" s="2" t="s">
        <v>9</v>
      </c>
      <c r="J11" s="2" t="s">
        <v>20</v>
      </c>
      <c r="K11" s="2" t="s">
        <v>20</v>
      </c>
      <c r="L11" s="2" t="s">
        <v>41</v>
      </c>
      <c r="M11" t="str">
        <f t="shared" si="0"/>
        <v>NA</v>
      </c>
      <c r="N11" t="str">
        <f t="shared" si="1"/>
        <v>NA</v>
      </c>
      <c r="P11" t="s">
        <v>27</v>
      </c>
    </row>
    <row r="12" spans="1:16" x14ac:dyDescent="0.2">
      <c r="A12" t="s">
        <v>10</v>
      </c>
      <c r="B12" t="s">
        <v>11</v>
      </c>
      <c r="C12" s="1" t="s">
        <v>14</v>
      </c>
      <c r="E12" s="2" t="s">
        <v>13</v>
      </c>
      <c r="F12" s="2" t="s">
        <v>10</v>
      </c>
      <c r="G12" s="2" t="s">
        <v>14</v>
      </c>
      <c r="H12" s="2" t="s">
        <v>10</v>
      </c>
      <c r="I12" s="2" t="s">
        <v>10</v>
      </c>
      <c r="J12" s="2" t="s">
        <v>23</v>
      </c>
      <c r="K12" s="2" t="s">
        <v>23</v>
      </c>
      <c r="L12" s="2" t="s">
        <v>20</v>
      </c>
      <c r="M12" t="str">
        <f t="shared" si="0"/>
        <v>NA</v>
      </c>
      <c r="N12" t="str">
        <f t="shared" si="1"/>
        <v>NA</v>
      </c>
      <c r="P12" t="s">
        <v>28</v>
      </c>
    </row>
    <row r="13" spans="1:16" x14ac:dyDescent="0.2">
      <c r="A13" t="s">
        <v>11</v>
      </c>
      <c r="B13" t="s">
        <v>12</v>
      </c>
      <c r="C13" s="1" t="s">
        <v>15</v>
      </c>
      <c r="E13" s="2" t="s">
        <v>14</v>
      </c>
      <c r="F13" s="2" t="s">
        <v>11</v>
      </c>
      <c r="G13" s="2" t="s">
        <v>15</v>
      </c>
      <c r="H13" s="2" t="s">
        <v>11</v>
      </c>
      <c r="I13" s="2" t="s">
        <v>11</v>
      </c>
      <c r="J13" s="2" t="s">
        <v>26</v>
      </c>
      <c r="K13" s="2" t="s">
        <v>26</v>
      </c>
      <c r="L13" s="2" t="s">
        <v>21</v>
      </c>
      <c r="M13" t="str">
        <f t="shared" si="0"/>
        <v>NA</v>
      </c>
      <c r="N13" t="str">
        <f t="shared" si="1"/>
        <v>NA</v>
      </c>
      <c r="P13" t="s">
        <v>18</v>
      </c>
    </row>
    <row r="14" spans="1:16" x14ac:dyDescent="0.2">
      <c r="A14" t="s">
        <v>12</v>
      </c>
      <c r="B14" t="s">
        <v>13</v>
      </c>
      <c r="C14" s="1" t="s">
        <v>18</v>
      </c>
      <c r="E14" s="2" t="s">
        <v>15</v>
      </c>
      <c r="F14" s="2" t="s">
        <v>12</v>
      </c>
      <c r="G14" s="2" t="s">
        <v>18</v>
      </c>
      <c r="H14" s="2" t="s">
        <v>12</v>
      </c>
      <c r="I14" s="2" t="s">
        <v>12</v>
      </c>
      <c r="L14" s="2" t="s">
        <v>22</v>
      </c>
      <c r="M14" t="str">
        <f t="shared" si="0"/>
        <v>FEZF2</v>
      </c>
      <c r="N14" t="str">
        <f t="shared" si="1"/>
        <v>FEZF2</v>
      </c>
      <c r="P14" t="s">
        <v>5</v>
      </c>
    </row>
    <row r="15" spans="1:16" x14ac:dyDescent="0.2">
      <c r="A15" t="s">
        <v>13</v>
      </c>
      <c r="B15" t="s">
        <v>14</v>
      </c>
      <c r="C15" s="1" t="s">
        <v>19</v>
      </c>
      <c r="E15" s="2" t="s">
        <v>18</v>
      </c>
      <c r="F15" s="2" t="s">
        <v>13</v>
      </c>
      <c r="G15" s="2" t="s">
        <v>19</v>
      </c>
      <c r="H15" s="2" t="s">
        <v>13</v>
      </c>
      <c r="I15" s="2" t="s">
        <v>13</v>
      </c>
      <c r="L15" s="2" t="s">
        <v>23</v>
      </c>
      <c r="M15" t="str">
        <f t="shared" si="0"/>
        <v>LHX3</v>
      </c>
      <c r="N15" t="str">
        <f t="shared" si="1"/>
        <v>LHX3</v>
      </c>
    </row>
    <row r="16" spans="1:16" x14ac:dyDescent="0.2">
      <c r="A16" t="s">
        <v>14</v>
      </c>
      <c r="B16" t="s">
        <v>15</v>
      </c>
      <c r="C16" s="1" t="s">
        <v>22</v>
      </c>
      <c r="E16" s="2" t="s">
        <v>19</v>
      </c>
      <c r="F16" s="2" t="s">
        <v>14</v>
      </c>
      <c r="G16" s="2" t="s">
        <v>22</v>
      </c>
      <c r="H16" s="2" t="s">
        <v>14</v>
      </c>
      <c r="I16" s="2" t="s">
        <v>14</v>
      </c>
      <c r="L16" s="2" t="s">
        <v>27</v>
      </c>
      <c r="M16" t="str">
        <f t="shared" si="0"/>
        <v>NA</v>
      </c>
      <c r="N16" t="str">
        <f t="shared" si="1"/>
        <v>NA</v>
      </c>
    </row>
    <row r="17" spans="1:14" x14ac:dyDescent="0.2">
      <c r="A17" t="s">
        <v>15</v>
      </c>
      <c r="B17" t="s">
        <v>19</v>
      </c>
      <c r="C17" s="1" t="s">
        <v>23</v>
      </c>
      <c r="E17" s="2" t="s">
        <v>23</v>
      </c>
      <c r="F17" s="2" t="s">
        <v>15</v>
      </c>
      <c r="G17" s="2" t="s">
        <v>23</v>
      </c>
      <c r="H17" s="2" t="s">
        <v>15</v>
      </c>
      <c r="I17" s="2" t="s">
        <v>15</v>
      </c>
      <c r="M17" t="str">
        <f t="shared" si="0"/>
        <v>NA</v>
      </c>
      <c r="N17" t="str">
        <f t="shared" si="1"/>
        <v>NA</v>
      </c>
    </row>
    <row r="18" spans="1:14" x14ac:dyDescent="0.2">
      <c r="A18" t="s">
        <v>16</v>
      </c>
      <c r="B18" t="s">
        <v>20</v>
      </c>
      <c r="C18" s="1" t="s">
        <v>26</v>
      </c>
      <c r="E18" s="2" t="s">
        <v>27</v>
      </c>
      <c r="F18" s="2" t="s">
        <v>16</v>
      </c>
      <c r="G18" s="2" t="s">
        <v>26</v>
      </c>
      <c r="H18" s="2" t="s">
        <v>18</v>
      </c>
      <c r="I18" s="2" t="s">
        <v>18</v>
      </c>
      <c r="M18" t="str">
        <f t="shared" si="0"/>
        <v>NA</v>
      </c>
      <c r="N18" t="str">
        <f t="shared" si="1"/>
        <v>NA</v>
      </c>
    </row>
    <row r="19" spans="1:14" x14ac:dyDescent="0.2">
      <c r="A19" t="s">
        <v>17</v>
      </c>
      <c r="B19" t="s">
        <v>22</v>
      </c>
      <c r="C19" s="1" t="s">
        <v>27</v>
      </c>
      <c r="F19" s="2" t="s">
        <v>18</v>
      </c>
      <c r="G19" s="2" t="s">
        <v>27</v>
      </c>
      <c r="H19" s="2" t="s">
        <v>19</v>
      </c>
      <c r="I19" s="2" t="s">
        <v>19</v>
      </c>
      <c r="M19" t="str">
        <f t="shared" si="0"/>
        <v>NA</v>
      </c>
      <c r="N19" t="str">
        <f t="shared" si="1"/>
        <v>NA</v>
      </c>
    </row>
    <row r="20" spans="1:14" x14ac:dyDescent="0.2">
      <c r="A20" t="s">
        <v>18</v>
      </c>
      <c r="B20" t="s">
        <v>23</v>
      </c>
      <c r="C20" s="1" t="s">
        <v>28</v>
      </c>
      <c r="F20" s="2" t="s">
        <v>19</v>
      </c>
      <c r="G20" s="2" t="s">
        <v>28</v>
      </c>
      <c r="H20" s="2" t="s">
        <v>22</v>
      </c>
      <c r="I20" s="2" t="s">
        <v>20</v>
      </c>
      <c r="M20" t="str">
        <f t="shared" si="0"/>
        <v>NA</v>
      </c>
      <c r="N20" t="str">
        <f t="shared" si="1"/>
        <v>NA</v>
      </c>
    </row>
    <row r="21" spans="1:14" x14ac:dyDescent="0.2">
      <c r="A21" t="s">
        <v>19</v>
      </c>
      <c r="B21" t="s">
        <v>24</v>
      </c>
      <c r="F21" s="2" t="s">
        <v>20</v>
      </c>
      <c r="H21" s="2" t="s">
        <v>23</v>
      </c>
      <c r="I21" s="2" t="s">
        <v>22</v>
      </c>
      <c r="M21" t="str">
        <f t="shared" si="0"/>
        <v>NA</v>
      </c>
      <c r="N21" t="str">
        <f t="shared" si="1"/>
        <v>NA</v>
      </c>
    </row>
    <row r="22" spans="1:14" x14ac:dyDescent="0.2">
      <c r="A22" t="s">
        <v>20</v>
      </c>
      <c r="B22" t="s">
        <v>25</v>
      </c>
      <c r="F22" s="2" t="s">
        <v>22</v>
      </c>
      <c r="H22" s="2" t="s">
        <v>26</v>
      </c>
      <c r="I22" s="2" t="s">
        <v>23</v>
      </c>
      <c r="M22" t="str">
        <f t="shared" si="0"/>
        <v>NA</v>
      </c>
      <c r="N22" t="str">
        <f t="shared" si="1"/>
        <v>NA</v>
      </c>
    </row>
    <row r="23" spans="1:14" x14ac:dyDescent="0.2">
      <c r="A23" t="s">
        <v>21</v>
      </c>
      <c r="B23" t="s">
        <v>27</v>
      </c>
      <c r="F23" s="2" t="s">
        <v>23</v>
      </c>
      <c r="H23" s="2" t="s">
        <v>27</v>
      </c>
      <c r="I23" s="2" t="s">
        <v>24</v>
      </c>
      <c r="M23" t="str">
        <f t="shared" si="0"/>
        <v>NA</v>
      </c>
      <c r="N23" t="str">
        <f t="shared" si="1"/>
        <v>NA</v>
      </c>
    </row>
    <row r="24" spans="1:14" x14ac:dyDescent="0.2">
      <c r="A24" t="s">
        <v>22</v>
      </c>
      <c r="F24" s="2" t="s">
        <v>24</v>
      </c>
      <c r="H24" s="2" t="s">
        <v>28</v>
      </c>
      <c r="I24" s="2" t="s">
        <v>25</v>
      </c>
      <c r="M24" t="str">
        <f t="shared" si="0"/>
        <v>NA</v>
      </c>
      <c r="N24" t="str">
        <f t="shared" si="1"/>
        <v>NA</v>
      </c>
    </row>
    <row r="25" spans="1:14" x14ac:dyDescent="0.2">
      <c r="A25" t="s">
        <v>23</v>
      </c>
      <c r="F25" s="2" t="s">
        <v>25</v>
      </c>
      <c r="H25" s="2" t="s">
        <v>34</v>
      </c>
      <c r="I25" s="2" t="s">
        <v>26</v>
      </c>
      <c r="M25" t="str">
        <f t="shared" si="0"/>
        <v>DLX1</v>
      </c>
      <c r="N25" t="str">
        <f t="shared" si="1"/>
        <v>DLX1</v>
      </c>
    </row>
    <row r="26" spans="1:14" x14ac:dyDescent="0.2">
      <c r="A26" t="s">
        <v>24</v>
      </c>
      <c r="F26" s="2" t="s">
        <v>26</v>
      </c>
      <c r="I26" s="2" t="s">
        <v>27</v>
      </c>
      <c r="M26" t="str">
        <f t="shared" si="0"/>
        <v>NA</v>
      </c>
      <c r="N26" t="str">
        <f t="shared" si="1"/>
        <v>NA</v>
      </c>
    </row>
    <row r="27" spans="1:14" x14ac:dyDescent="0.2">
      <c r="A27" t="s">
        <v>25</v>
      </c>
      <c r="F27" s="2" t="s">
        <v>27</v>
      </c>
      <c r="I27" s="2" t="s">
        <v>28</v>
      </c>
      <c r="M27" t="str">
        <f t="shared" si="0"/>
        <v>NA</v>
      </c>
      <c r="N27" t="str">
        <f t="shared" si="1"/>
        <v>NA</v>
      </c>
    </row>
    <row r="28" spans="1:14" x14ac:dyDescent="0.2">
      <c r="A28" t="s">
        <v>26</v>
      </c>
      <c r="F28" s="2" t="s">
        <v>28</v>
      </c>
      <c r="I28" s="2" t="s">
        <v>34</v>
      </c>
      <c r="M28" t="str">
        <f t="shared" si="0"/>
        <v>NA</v>
      </c>
      <c r="N28" t="str">
        <f t="shared" si="1"/>
        <v>NA</v>
      </c>
    </row>
    <row r="29" spans="1:14" x14ac:dyDescent="0.2">
      <c r="A29" t="s">
        <v>27</v>
      </c>
      <c r="F29" s="2" t="s">
        <v>34</v>
      </c>
      <c r="M29" t="str">
        <f t="shared" si="0"/>
        <v>NA</v>
      </c>
      <c r="N29" t="str">
        <f t="shared" si="1"/>
        <v>GSX1</v>
      </c>
    </row>
    <row r="30" spans="1:14" x14ac:dyDescent="0.2">
      <c r="A30" t="s">
        <v>28</v>
      </c>
      <c r="M30" t="str">
        <f t="shared" si="0"/>
        <v>NA</v>
      </c>
      <c r="N30" t="str">
        <f t="shared" si="1"/>
        <v>NA</v>
      </c>
    </row>
    <row r="31" spans="1:14" x14ac:dyDescent="0.2">
      <c r="A31" t="s">
        <v>29</v>
      </c>
      <c r="M31" t="str">
        <f t="shared" si="0"/>
        <v>NA</v>
      </c>
      <c r="N31" t="str">
        <f t="shared" si="1"/>
        <v>NA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Panther_gene_paths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Randall</dc:creator>
  <cp:lastModifiedBy>Beverly Randall</cp:lastModifiedBy>
  <dcterms:created xsi:type="dcterms:W3CDTF">2025-09-03T18:12:33Z</dcterms:created>
  <dcterms:modified xsi:type="dcterms:W3CDTF">2025-09-03T19:09:41Z</dcterms:modified>
</cp:coreProperties>
</file>